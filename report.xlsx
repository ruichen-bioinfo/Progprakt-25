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<sst xmlns="http://schemas.openxmlformats.org/spreadsheetml/2006/main" count="134" uniqueCount="123">
  <si>
    <t xml:space="preserve">Anleitung: Pro Teilnehmer die Anteile an der Aufgabe in die blauen Felder eintragen.</t>
  </si>
  <si>
    <t xml:space="preserve">Aufgaben</t>
  </si>
  <si>
    <t xml:space="preserve">Gruppe 11</t>
  </si>
  <si>
    <t xml:space="preserve">Rui</t>
  </si>
  <si>
    <t xml:space="preserve">Johannes</t>
  </si>
  <si>
    <t xml:space="preserve">Luka</t>
  </si>
  <si>
    <t xml:space="preserve">Xiuqi</t>
  </si>
  <si>
    <t xml:space="preserve">(Name 5)</t>
  </si>
  <si>
    <t xml:space="preserve">Anteile ok?</t>
  </si>
  <si>
    <t xml:space="preserve">Beschreibung</t>
  </si>
  <si>
    <t xml:space="preserve">Mögliche Punkte</t>
  </si>
  <si>
    <t xml:space="preserve">Anteil</t>
  </si>
  <si>
    <t xml:space="preserve">1.1</t>
  </si>
  <si>
    <t xml:space="preserve">Style</t>
  </si>
  <si>
    <t xml:space="preserve">1.2</t>
  </si>
  <si>
    <t xml:space="preserve">Git</t>
  </si>
  <si>
    <t xml:space="preserve">1.3</t>
  </si>
  <si>
    <t xml:space="preserve">Website</t>
  </si>
  <si>
    <t xml:space="preserve">1.4</t>
  </si>
  <si>
    <t xml:space="preserve">virus</t>
  </si>
  <si>
    <t xml:space="preserve">1.5</t>
  </si>
  <si>
    <t xml:space="preserve">acsearch</t>
  </si>
  <si>
    <t xml:space="preserve">1.6</t>
  </si>
  <si>
    <t xml:space="preserve">spkeyword</t>
  </si>
  <si>
    <t xml:space="preserve">1.7</t>
  </si>
  <si>
    <t xml:space="preserve">psscan</t>
  </si>
  <si>
    <t xml:space="preserve">1.8</t>
  </si>
  <si>
    <t xml:space="preserve">genome_length</t>
  </si>
  <si>
    <t xml:space="preserve">1.9</t>
  </si>
  <si>
    <t xml:space="preserve">encode</t>
  </si>
  <si>
    <t xml:space="preserve">1.10</t>
  </si>
  <si>
    <t xml:space="preserve">genome2orf,dna2mrna,mrna2aa</t>
  </si>
  <si>
    <t xml:space="preserve">1.11</t>
  </si>
  <si>
    <t xml:space="preserve">incidence</t>
  </si>
  <si>
    <t xml:space="preserve">1.12</t>
  </si>
  <si>
    <t xml:space="preserve">unique</t>
  </si>
  <si>
    <t xml:space="preserve">1.13</t>
  </si>
  <si>
    <t xml:space="preserve">get_crispr</t>
  </si>
  <si>
    <t xml:space="preserve">1.14</t>
  </si>
  <si>
    <t xml:space="preserve">is_running / work_load_check</t>
  </si>
  <si>
    <t xml:space="preserve">1.15</t>
  </si>
  <si>
    <t xml:space="preserve">Schnittshell-Jagd</t>
  </si>
  <si>
    <t xml:space="preserve">Summe möglicher Punkte</t>
  </si>
  <si>
    <t xml:space="preserve">2.1</t>
  </si>
  <si>
    <t xml:space="preserve">2.2</t>
  </si>
  <si>
    <t xml:space="preserve">2.3</t>
  </si>
  <si>
    <t xml:space="preserve">DB-schema</t>
  </si>
  <si>
    <t xml:space="preserve">2.4</t>
  </si>
  <si>
    <t xml:space="preserve">sp_db</t>
  </si>
  <si>
    <t xml:space="preserve">2.5</t>
  </si>
  <si>
    <t xml:space="preserve">orf_finder</t>
  </si>
  <si>
    <t xml:space="preserve">2.6</t>
  </si>
  <si>
    <t xml:space="preserve">spkeyword-sql</t>
  </si>
  <si>
    <t xml:space="preserve">2.7</t>
  </si>
  <si>
    <t xml:space="preserve">psscan_sql</t>
  </si>
  <si>
    <t xml:space="preserve">2.8</t>
  </si>
  <si>
    <t xml:space="preserve">get_pdb</t>
  </si>
  <si>
    <t xml:space="preserve">2.9</t>
  </si>
  <si>
    <t xml:space="preserve">visualize_mol</t>
  </si>
  <si>
    <t xml:space="preserve">2.10</t>
  </si>
  <si>
    <t xml:space="preserve">visualize_all</t>
  </si>
  <si>
    <t xml:space="preserve">2.11</t>
  </si>
  <si>
    <t xml:space="preserve">makesscc</t>
  </si>
  <si>
    <t xml:space="preserve">2.12</t>
  </si>
  <si>
    <t xml:space="preserve">blast on mycoplasma</t>
  </si>
  <si>
    <t xml:space="preserve">2.13</t>
  </si>
  <si>
    <t xml:space="preserve">filter_crispr</t>
  </si>
  <si>
    <t xml:space="preserve">2.14</t>
  </si>
  <si>
    <t xml:space="preserve">Homstrad 2 db</t>
  </si>
  <si>
    <t xml:space="preserve">3.1.1</t>
  </si>
  <si>
    <t xml:space="preserve">Pen&amp;Paper</t>
  </si>
  <si>
    <t xml:space="preserve">3.1.2</t>
  </si>
  <si>
    <t xml:space="preserve">Recursion</t>
  </si>
  <si>
    <t xml:space="preserve">3.1.3</t>
  </si>
  <si>
    <t xml:space="preserve">DynamicProg</t>
  </si>
  <si>
    <t xml:space="preserve">3.1.4</t>
  </si>
  <si>
    <t xml:space="preserve">Benchmark</t>
  </si>
  <si>
    <t xml:space="preserve">3.1.5</t>
  </si>
  <si>
    <t xml:space="preserve">QUASAR</t>
  </si>
  <si>
    <t xml:space="preserve">3.1.6</t>
  </si>
  <si>
    <t xml:space="preserve">Backtracking</t>
  </si>
  <si>
    <t xml:space="preserve">3.1.7</t>
  </si>
  <si>
    <t xml:space="preserve">Global/Local/Freeshift</t>
  </si>
  <si>
    <t xml:space="preserve">3.1.8</t>
  </si>
  <si>
    <t xml:space="preserve">GOTOH</t>
  </si>
  <si>
    <t xml:space="preserve">3.1.9</t>
  </si>
  <si>
    <t xml:space="preserve">GOTOH Backtracking</t>
  </si>
  <si>
    <t xml:space="preserve">3.1.10</t>
  </si>
  <si>
    <t xml:space="preserve">checkscore</t>
  </si>
  <si>
    <t xml:space="preserve">3.2.1</t>
  </si>
  <si>
    <t xml:space="preserve">create-seclib</t>
  </si>
  <si>
    <t xml:space="preserve">3.2.2</t>
  </si>
  <si>
    <t xml:space="preserve">GOR I</t>
  </si>
  <si>
    <t xml:space="preserve">3.2.3</t>
  </si>
  <si>
    <t xml:space="preserve">GOR III</t>
  </si>
  <si>
    <t xml:space="preserve">3.2.4</t>
  </si>
  <si>
    <t xml:space="preserve">GOR IV</t>
  </si>
  <si>
    <t xml:space="preserve">3.2.5</t>
  </si>
  <si>
    <t xml:space="preserve">GOR V</t>
  </si>
  <si>
    <t xml:space="preserve">3.3.1</t>
  </si>
  <si>
    <t xml:space="preserve">Alignment Testset</t>
  </si>
  <si>
    <t xml:space="preserve">3.3.2</t>
  </si>
  <si>
    <t xml:space="preserve">Sens/Spec/Cov/MSE</t>
  </si>
  <si>
    <t xml:space="preserve">3.3.3</t>
  </si>
  <si>
    <t xml:space="preserve">Parameter Screen</t>
  </si>
  <si>
    <t xml:space="preserve">3.3.4</t>
  </si>
  <si>
    <t xml:space="preserve">Correlations</t>
  </si>
  <si>
    <t xml:space="preserve">3.3.5</t>
  </si>
  <si>
    <t xml:space="preserve">repeated cross-validation</t>
  </si>
  <si>
    <t xml:space="preserve">3.3.6</t>
  </si>
  <si>
    <t xml:space="preserve">Q3/SOV</t>
  </si>
  <si>
    <t xml:space="preserve">3.3.7</t>
  </si>
  <si>
    <t xml:space="preserve">GOR Testset</t>
  </si>
  <si>
    <t xml:space="preserve">3.3.8</t>
  </si>
  <si>
    <t xml:space="preserve">Plots, Comparison</t>
  </si>
  <si>
    <t xml:space="preserve">3.3.9</t>
  </si>
  <si>
    <t xml:space="preserve">PSI-PRED</t>
  </si>
  <si>
    <t xml:space="preserve">3.4</t>
  </si>
  <si>
    <t xml:space="preserve">Bonus</t>
  </si>
  <si>
    <t xml:space="preserve">BONUS  ALI</t>
  </si>
  <si>
    <t xml:space="preserve">BONUS GOR</t>
  </si>
  <si>
    <t xml:space="preserve">BONUS VALI</t>
  </si>
  <si>
    <t xml:space="preserve">BONUS WEB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</si>
</sst>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\ [$€-407];[RED]\-#,##0.00\ [$€-407]"/>
    <numFmt numFmtId="166" formatCode="@"/>
    <numFmt numFmtId="167" formatCode="0.00"/>
    <numFmt numFmtId="168" formatCode="0\ %"/>
    <numFmt numFmtId="169" formatCode="0.00\ %"/>
  </numFmts>
  <fonts count="17">
    <font>
      <sz val="11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b val="true"/>
      <i val="true"/>
      <sz val="16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sz val="10"/>
      <color rgb="FF333333"/>
      <name val="Arial"/>
      <family val="2"/>
      <charset val="1"/>
    </font>
    <font>
      <b val="true"/>
      <i val="true"/>
      <u val="single"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E7E6E6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CC00"/>
      </patternFill>
    </fill>
    <fill>
      <patternFill patternType="solid">
        <fgColor rgb="FF83CAFF"/>
        <bgColor rgb="FF9999FF"/>
      </patternFill>
    </fill>
    <fill>
      <patternFill patternType="solid">
        <fgColor rgb="FFFFFF99"/>
        <bgColor rgb="FFFFFFCC"/>
      </patternFill>
    </fill>
    <fill>
      <patternFill patternType="solid">
        <fgColor rgb="FFE7E6E6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eading1" xfId="31"/>
    <cellStyle name="Hyperlink 15" xfId="32"/>
    <cellStyle name="Note 16" xfId="33"/>
    <cellStyle name="Result" xfId="34"/>
    <cellStyle name="Result2" xfId="35"/>
    <cellStyle name="Status 17" xfId="36"/>
    <cellStyle name="Text 18" xfId="37"/>
    <cellStyle name="Warning 19" xfId="38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7E6E6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67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L59" activeCellId="0" sqref="L59"/>
    </sheetView>
  </sheetViews>
  <sheetFormatPr defaultColWidth="10.69140625" defaultRowHeight="13.8" zeroHeight="false" outlineLevelRow="0" outlineLevelCol="0"/>
  <cols>
    <col collapsed="false" customWidth="true" hidden="false" outlineLevel="0" max="1" min="1" style="1" width="13.7"/>
    <col collapsed="false" customWidth="true" hidden="false" outlineLevel="0" max="2" min="2" style="1" width="21.7"/>
    <col collapsed="false" customWidth="true" hidden="false" outlineLevel="0" max="3" min="3" style="1" width="18.7"/>
    <col collapsed="false" customWidth="true" hidden="false" outlineLevel="0" max="57" min="4" style="0" width="10.2"/>
  </cols>
  <sheetData>
    <row r="1" customFormat="false" ht="49.95" hidden="false" customHeight="true" outlineLevel="0" collapsed="false">
      <c r="A1" s="2" t="s">
        <v>0</v>
      </c>
      <c r="B1" s="2"/>
      <c r="C1" s="2"/>
      <c r="D1" s="2"/>
      <c r="E1" s="1"/>
    </row>
    <row r="2" customFormat="false" ht="13.8" hidden="false" customHeight="false" outlineLevel="0" collapsed="false">
      <c r="A2" s="1" t="s">
        <v>1</v>
      </c>
      <c r="D2" s="3" t="s">
        <v>2</v>
      </c>
      <c r="E2" s="3"/>
      <c r="F2" s="3"/>
      <c r="G2" s="3"/>
      <c r="H2" s="4"/>
    </row>
    <row r="3" customFormat="false" ht="13.8" hidden="false" customHeight="false" outlineLevel="0" collapsed="false"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</row>
    <row r="4" customFormat="false" ht="13.8" hidden="false" customHeight="false" outlineLevel="0" collapsed="false">
      <c r="B4" s="1" t="s">
        <v>9</v>
      </c>
      <c r="C4" s="1" t="s">
        <v>10</v>
      </c>
      <c r="D4" s="5" t="s">
        <v>11</v>
      </c>
      <c r="E4" s="5" t="s">
        <v>11</v>
      </c>
      <c r="F4" s="5" t="s">
        <v>11</v>
      </c>
      <c r="G4" s="5" t="s">
        <v>11</v>
      </c>
      <c r="H4" s="0" t="s">
        <v>11</v>
      </c>
      <c r="I4" s="6"/>
    </row>
    <row r="5" customFormat="false" ht="13.8" hidden="false" customHeight="false" outlineLevel="0" collapsed="false">
      <c r="A5" s="1" t="s">
        <v>12</v>
      </c>
      <c r="B5" s="1" t="s">
        <v>13</v>
      </c>
      <c r="C5" s="7"/>
      <c r="D5" s="8"/>
      <c r="E5" s="8"/>
      <c r="F5" s="8"/>
      <c r="G5" s="8"/>
      <c r="H5" s="9"/>
      <c r="I5" s="5"/>
    </row>
    <row r="6" customFormat="false" ht="13.8" hidden="false" customHeight="false" outlineLevel="0" collapsed="false">
      <c r="A6" s="1" t="s">
        <v>14</v>
      </c>
      <c r="B6" s="1" t="s">
        <v>15</v>
      </c>
      <c r="C6" s="10" t="n">
        <v>5</v>
      </c>
      <c r="D6" s="11" t="n">
        <v>0.5</v>
      </c>
      <c r="E6" s="11" t="n">
        <v>0.3</v>
      </c>
      <c r="F6" s="11" t="n">
        <v>0.2</v>
      </c>
      <c r="G6" s="9"/>
      <c r="H6" s="9"/>
      <c r="I6" s="5" t="str">
        <f aca="false">CONCATENATE(SUM(D6,E6,F6,G6,H6)*100,"%")</f>
        <v>100%</v>
      </c>
    </row>
    <row r="7" customFormat="false" ht="13.8" hidden="false" customHeight="false" outlineLevel="0" collapsed="false">
      <c r="A7" s="1" t="s">
        <v>16</v>
      </c>
      <c r="B7" s="1" t="s">
        <v>17</v>
      </c>
      <c r="C7" s="10" t="n">
        <v>5</v>
      </c>
      <c r="D7" s="11" t="n">
        <v>1</v>
      </c>
      <c r="E7" s="9"/>
      <c r="F7" s="9"/>
      <c r="G7" s="9"/>
      <c r="H7" s="9"/>
      <c r="I7" s="5" t="str">
        <f aca="false">CONCATENATE(SUM(D7,E7,F7,G7,H7)*100,"%")</f>
        <v>100%</v>
      </c>
    </row>
    <row r="8" customFormat="false" ht="13.8" hidden="false" customHeight="false" outlineLevel="0" collapsed="false">
      <c r="A8" s="1" t="s">
        <v>18</v>
      </c>
      <c r="B8" s="1" t="s">
        <v>19</v>
      </c>
      <c r="C8" s="10" t="n">
        <v>5</v>
      </c>
      <c r="D8" s="9"/>
      <c r="E8" s="9"/>
      <c r="F8" s="11" t="n">
        <v>1</v>
      </c>
      <c r="G8" s="9"/>
      <c r="H8" s="9"/>
      <c r="I8" s="5" t="str">
        <f aca="false">CONCATENATE(SUM(D8,E8,F8,G8,H8)*100,"%")</f>
        <v>100%</v>
      </c>
    </row>
    <row r="9" customFormat="false" ht="13.8" hidden="false" customHeight="false" outlineLevel="0" collapsed="false">
      <c r="A9" s="1" t="s">
        <v>20</v>
      </c>
      <c r="B9" s="1" t="s">
        <v>21</v>
      </c>
      <c r="C9" s="10" t="n">
        <v>8</v>
      </c>
      <c r="D9" s="11" t="n">
        <v>0.1</v>
      </c>
      <c r="E9" s="11" t="n">
        <v>0.9</v>
      </c>
      <c r="F9" s="9"/>
      <c r="G9" s="9"/>
      <c r="H9" s="9"/>
      <c r="I9" s="5" t="str">
        <f aca="false">CONCATENATE(SUM(D9,E9,F9,G9,H9)*100,"%")</f>
        <v>100%</v>
      </c>
    </row>
    <row r="10" customFormat="false" ht="13.8" hidden="false" customHeight="false" outlineLevel="0" collapsed="false">
      <c r="A10" s="1" t="s">
        <v>22</v>
      </c>
      <c r="B10" s="1" t="s">
        <v>23</v>
      </c>
      <c r="C10" s="10" t="n">
        <v>13</v>
      </c>
      <c r="D10" s="11" t="n">
        <v>0.1</v>
      </c>
      <c r="E10" s="9"/>
      <c r="F10" s="9"/>
      <c r="G10" s="11" t="n">
        <v>0.9</v>
      </c>
      <c r="H10" s="9"/>
      <c r="I10" s="5" t="str">
        <f aca="false">CONCATENATE(SUM(D10,E10,F10,G10,H10)*100,"%")</f>
        <v>100%</v>
      </c>
    </row>
    <row r="11" customFormat="false" ht="13.8" hidden="false" customHeight="false" outlineLevel="0" collapsed="false">
      <c r="A11" s="1" t="s">
        <v>24</v>
      </c>
      <c r="B11" s="1" t="s">
        <v>25</v>
      </c>
      <c r="C11" s="10" t="n">
        <v>18</v>
      </c>
      <c r="D11" s="11" t="n">
        <v>1</v>
      </c>
      <c r="E11" s="9"/>
      <c r="F11" s="9"/>
      <c r="G11" s="9"/>
      <c r="H11" s="9"/>
      <c r="I11" s="5" t="str">
        <f aca="false">CONCATENATE(SUM(D11,E11,F11,G11,H11)*100,"%")</f>
        <v>100%</v>
      </c>
    </row>
    <row r="12" customFormat="false" ht="13.8" hidden="false" customHeight="false" outlineLevel="0" collapsed="false">
      <c r="A12" s="1" t="s">
        <v>26</v>
      </c>
      <c r="B12" s="1" t="s">
        <v>27</v>
      </c>
      <c r="C12" s="10" t="n">
        <v>8</v>
      </c>
      <c r="D12" s="11" t="n">
        <v>0.1</v>
      </c>
      <c r="E12" s="9"/>
      <c r="F12" s="11" t="n">
        <v>0.9</v>
      </c>
      <c r="G12" s="9"/>
      <c r="H12" s="9"/>
      <c r="I12" s="5" t="str">
        <f aca="false">CONCATENATE(SUM(D12,E12,F12,G12,H12)*100,"%")</f>
        <v>100%</v>
      </c>
    </row>
    <row r="13" customFormat="false" ht="13.8" hidden="false" customHeight="false" outlineLevel="0" collapsed="false">
      <c r="A13" s="1" t="s">
        <v>28</v>
      </c>
      <c r="B13" s="1" t="s">
        <v>29</v>
      </c>
      <c r="C13" s="10" t="n">
        <v>20</v>
      </c>
      <c r="D13" s="9"/>
      <c r="E13" s="11" t="n">
        <v>1</v>
      </c>
      <c r="F13" s="9"/>
      <c r="G13" s="9"/>
      <c r="H13" s="9"/>
      <c r="I13" s="5" t="str">
        <f aca="false">CONCATENATE(SUM(D13,E13,F13,G13,H13)*100,"%")</f>
        <v>100%</v>
      </c>
    </row>
    <row r="14" customFormat="false" ht="13.8" hidden="false" customHeight="false" outlineLevel="0" collapsed="false">
      <c r="A14" s="1" t="s">
        <v>30</v>
      </c>
      <c r="B14" s="1" t="s">
        <v>31</v>
      </c>
      <c r="C14" s="10" t="n">
        <v>18</v>
      </c>
      <c r="D14" s="11" t="n">
        <v>0.1</v>
      </c>
      <c r="E14" s="9"/>
      <c r="F14" s="9"/>
      <c r="G14" s="11" t="n">
        <v>0.9</v>
      </c>
      <c r="H14" s="9"/>
      <c r="I14" s="5" t="str">
        <f aca="false">CONCATENATE(SUM(D14,E14,F14,G14,H14)*100,"%")</f>
        <v>100%</v>
      </c>
    </row>
    <row r="15" customFormat="false" ht="13.8" hidden="false" customHeight="false" outlineLevel="0" collapsed="false">
      <c r="A15" s="1" t="s">
        <v>32</v>
      </c>
      <c r="B15" s="1" t="s">
        <v>33</v>
      </c>
      <c r="C15" s="10" t="n">
        <v>10</v>
      </c>
      <c r="D15" s="11" t="n">
        <v>1</v>
      </c>
      <c r="E15" s="9"/>
      <c r="F15" s="9"/>
      <c r="G15" s="9"/>
      <c r="H15" s="9"/>
      <c r="I15" s="5" t="str">
        <f aca="false">CONCATENATE(SUM(D15,E15,F15,G15,H15)*100,"%")</f>
        <v>100%</v>
      </c>
    </row>
    <row r="16" customFormat="false" ht="13.8" hidden="false" customHeight="false" outlineLevel="0" collapsed="false">
      <c r="A16" s="1" t="s">
        <v>34</v>
      </c>
      <c r="B16" s="1" t="s">
        <v>35</v>
      </c>
      <c r="C16" s="10" t="n">
        <v>20</v>
      </c>
      <c r="D16" s="9"/>
      <c r="E16" s="9"/>
      <c r="F16" s="11" t="n">
        <v>1</v>
      </c>
      <c r="G16" s="9"/>
      <c r="H16" s="9"/>
      <c r="I16" s="5" t="str">
        <f aca="false">CONCATENATE(SUM(D16,E16,F16,G16,H16)*100,"%")</f>
        <v>100%</v>
      </c>
    </row>
    <row r="17" customFormat="false" ht="13.8" hidden="false" customHeight="false" outlineLevel="0" collapsed="false">
      <c r="A17" s="1" t="s">
        <v>36</v>
      </c>
      <c r="B17" s="1" t="s">
        <v>37</v>
      </c>
      <c r="C17" s="10" t="n">
        <v>5</v>
      </c>
      <c r="D17" s="9"/>
      <c r="E17" s="11" t="n">
        <v>1</v>
      </c>
      <c r="F17" s="9"/>
      <c r="G17" s="9"/>
      <c r="H17" s="9"/>
      <c r="I17" s="5" t="str">
        <f aca="false">CONCATENATE(SUM(D17,E17,F17,G17,H17)*100,"%")</f>
        <v>100%</v>
      </c>
    </row>
    <row r="18" customFormat="false" ht="13.8" hidden="false" customHeight="false" outlineLevel="0" collapsed="false">
      <c r="A18" s="1" t="s">
        <v>38</v>
      </c>
      <c r="B18" s="1" t="s">
        <v>39</v>
      </c>
      <c r="C18" s="10" t="n">
        <v>5</v>
      </c>
      <c r="D18" s="9"/>
      <c r="E18" s="9"/>
      <c r="F18" s="9"/>
      <c r="G18" s="11" t="n">
        <v>1</v>
      </c>
      <c r="H18" s="9"/>
      <c r="I18" s="5" t="str">
        <f aca="false">CONCATENATE(SUM(D18,E18,F18,G18,H18)*100,"%")</f>
        <v>100%</v>
      </c>
    </row>
    <row r="19" customFormat="false" ht="13.8" hidden="false" customHeight="false" outlineLevel="0" collapsed="false">
      <c r="A19" s="1" t="s">
        <v>40</v>
      </c>
      <c r="B19" s="1" t="s">
        <v>41</v>
      </c>
      <c r="C19" s="10" t="n">
        <v>10</v>
      </c>
      <c r="D19" s="9"/>
      <c r="E19" s="11" t="n">
        <v>0.8</v>
      </c>
      <c r="F19" s="9"/>
      <c r="G19" s="11" t="n">
        <v>0.2</v>
      </c>
      <c r="H19" s="9"/>
      <c r="I19" s="5" t="str">
        <f aca="false">CONCATENATE(SUM(D19,E19,F19,G19,H19)*100,"%")</f>
        <v>100%</v>
      </c>
    </row>
    <row r="20" customFormat="false" ht="13.8" hidden="false" customHeight="false" outlineLevel="0" collapsed="false">
      <c r="A20" s="12" t="s">
        <v>42</v>
      </c>
      <c r="B20" s="12"/>
      <c r="C20" s="13" t="n">
        <f aca="false">SUM(C5:C19)</f>
        <v>150</v>
      </c>
      <c r="D20" s="0" t="n">
        <f aca="false">SUMPRODUCT(D6:D19,$C6:$C19)</f>
        <v>40.2</v>
      </c>
      <c r="E20" s="0" t="n">
        <f aca="false">SUMPRODUCT(E6:E19,$C6:$C19)</f>
        <v>41.7</v>
      </c>
      <c r="F20" s="0" t="n">
        <f aca="false">SUMPRODUCT(F6:F19,$C6:$C19)</f>
        <v>33.2</v>
      </c>
      <c r="G20" s="0" t="n">
        <f aca="false">SUMPRODUCT(G6:G19,$C6:$C19)</f>
        <v>34.9</v>
      </c>
      <c r="H20" s="0" t="n">
        <f aca="false">SUMPRODUCT(H6:H19,$C6:$C19)</f>
        <v>0</v>
      </c>
      <c r="I20" s="5"/>
      <c r="K20" s="0" t="n">
        <f aca="false">SUM(E20:H20)</f>
        <v>109.8</v>
      </c>
    </row>
    <row r="21" customFormat="false" ht="13.8" hidden="false" customHeight="false" outlineLevel="0" collapsed="false">
      <c r="A21" s="1" t="s">
        <v>43</v>
      </c>
      <c r="B21" s="1" t="s">
        <v>13</v>
      </c>
      <c r="C21" s="10"/>
      <c r="D21" s="9"/>
      <c r="E21" s="9"/>
      <c r="F21" s="9"/>
      <c r="G21" s="9"/>
      <c r="H21" s="9"/>
      <c r="I21" s="5" t="str">
        <f aca="false">CONCATENATE(SUM(D21,E21,F21,G21,H21)*100,"%")</f>
        <v>0%</v>
      </c>
    </row>
    <row r="22" customFormat="false" ht="13.8" hidden="false" customHeight="false" outlineLevel="0" collapsed="false">
      <c r="A22" s="1" t="s">
        <v>44</v>
      </c>
      <c r="B22" s="1" t="s">
        <v>15</v>
      </c>
      <c r="C22" s="10"/>
      <c r="D22" s="9"/>
      <c r="E22" s="9"/>
      <c r="F22" s="9"/>
      <c r="G22" s="9"/>
      <c r="H22" s="9"/>
      <c r="I22" s="5" t="str">
        <f aca="false">CONCATENATE(SUM(D22,E22,F22,G22,H22)*100,"%")</f>
        <v>0%</v>
      </c>
    </row>
    <row r="23" customFormat="false" ht="13.8" hidden="false" customHeight="false" outlineLevel="0" collapsed="false">
      <c r="A23" s="1" t="s">
        <v>45</v>
      </c>
      <c r="B23" s="1" t="s">
        <v>46</v>
      </c>
      <c r="C23" s="10" t="n">
        <v>20</v>
      </c>
      <c r="D23" s="11" t="n">
        <v>1</v>
      </c>
      <c r="E23" s="9"/>
      <c r="F23" s="9"/>
      <c r="G23" s="9"/>
      <c r="H23" s="9"/>
      <c r="I23" s="5" t="str">
        <f aca="false">CONCATENATE(SUM(D23,E23,F23,G23,H23)*100,"%")</f>
        <v>100%</v>
      </c>
    </row>
    <row r="24" customFormat="false" ht="13.8" hidden="false" customHeight="false" outlineLevel="0" collapsed="false">
      <c r="A24" s="1" t="s">
        <v>47</v>
      </c>
      <c r="B24" s="1" t="s">
        <v>48</v>
      </c>
      <c r="C24" s="10" t="n">
        <v>15</v>
      </c>
      <c r="D24" s="9"/>
      <c r="E24" s="11" t="n">
        <v>1</v>
      </c>
      <c r="F24" s="9"/>
      <c r="G24" s="9"/>
      <c r="H24" s="9"/>
      <c r="I24" s="5" t="str">
        <f aca="false">CONCATENATE(SUM(D24,E24,F24,G24,H24)*100,"%")</f>
        <v>100%</v>
      </c>
    </row>
    <row r="25" customFormat="false" ht="13.8" hidden="false" customHeight="false" outlineLevel="0" collapsed="false">
      <c r="A25" s="1" t="s">
        <v>49</v>
      </c>
      <c r="B25" s="1" t="s">
        <v>50</v>
      </c>
      <c r="C25" s="10" t="n">
        <v>25</v>
      </c>
      <c r="D25" s="9"/>
      <c r="E25" s="9"/>
      <c r="F25" s="11" t="n">
        <v>1</v>
      </c>
      <c r="G25" s="9"/>
      <c r="H25" s="9"/>
      <c r="I25" s="5" t="str">
        <f aca="false">CONCATENATE(SUM(D25,E25,F25,G25,H25)*100,"%")</f>
        <v>100%</v>
      </c>
    </row>
    <row r="26" customFormat="false" ht="13.8" hidden="false" customHeight="false" outlineLevel="0" collapsed="false">
      <c r="A26" s="1" t="s">
        <v>51</v>
      </c>
      <c r="B26" s="1" t="s">
        <v>52</v>
      </c>
      <c r="C26" s="10" t="n">
        <v>5</v>
      </c>
      <c r="D26" s="11" t="n">
        <v>1</v>
      </c>
      <c r="E26" s="9"/>
      <c r="F26" s="9"/>
      <c r="G26" s="9"/>
      <c r="H26" s="9"/>
      <c r="I26" s="5" t="str">
        <f aca="false">CONCATENATE(SUM(D26,E26,F26,G26,H26)*100,"%")</f>
        <v>100%</v>
      </c>
    </row>
    <row r="27" customFormat="false" ht="13.8" hidden="false" customHeight="false" outlineLevel="0" collapsed="false">
      <c r="A27" s="1" t="s">
        <v>53</v>
      </c>
      <c r="B27" s="1" t="s">
        <v>54</v>
      </c>
      <c r="C27" s="10" t="n">
        <v>5</v>
      </c>
      <c r="D27" s="11" t="n">
        <v>1</v>
      </c>
      <c r="E27" s="9"/>
      <c r="F27" s="9"/>
      <c r="G27" s="9"/>
      <c r="H27" s="9"/>
      <c r="I27" s="5" t="str">
        <f aca="false">CONCATENATE(SUM(D27,E27,F27,G27,H27)*100,"%")</f>
        <v>100%</v>
      </c>
    </row>
    <row r="28" customFormat="false" ht="13.8" hidden="false" customHeight="false" outlineLevel="0" collapsed="false">
      <c r="A28" s="1" t="s">
        <v>55</v>
      </c>
      <c r="B28" s="1" t="s">
        <v>56</v>
      </c>
      <c r="C28" s="10" t="n">
        <v>5</v>
      </c>
      <c r="D28" s="9"/>
      <c r="E28" s="9"/>
      <c r="F28" s="9"/>
      <c r="G28" s="11" t="n">
        <v>1</v>
      </c>
      <c r="H28" s="9"/>
      <c r="I28" s="5" t="str">
        <f aca="false">CONCATENATE(SUM(D28,E28,F28,G28,H28)*100,"%")</f>
        <v>100%</v>
      </c>
    </row>
    <row r="29" customFormat="false" ht="13.8" hidden="false" customHeight="false" outlineLevel="0" collapsed="false">
      <c r="A29" s="1" t="s">
        <v>57</v>
      </c>
      <c r="B29" s="1" t="s">
        <v>58</v>
      </c>
      <c r="C29" s="10" t="n">
        <v>10</v>
      </c>
      <c r="D29" s="9"/>
      <c r="E29" s="9"/>
      <c r="F29" s="9"/>
      <c r="G29" s="11" t="n">
        <v>1</v>
      </c>
      <c r="H29" s="9"/>
      <c r="I29" s="5" t="str">
        <f aca="false">CONCATENATE(SUM(D29,E29,F29,G29,H29)*100,"%")</f>
        <v>100%</v>
      </c>
    </row>
    <row r="30" customFormat="false" ht="13.8" hidden="false" customHeight="false" outlineLevel="0" collapsed="false">
      <c r="A30" s="1" t="s">
        <v>59</v>
      </c>
      <c r="B30" s="1" t="s">
        <v>60</v>
      </c>
      <c r="C30" s="10" t="n">
        <v>15</v>
      </c>
      <c r="D30" s="11" t="n">
        <v>1</v>
      </c>
      <c r="E30" s="9"/>
      <c r="F30" s="9"/>
      <c r="G30" s="9"/>
      <c r="H30" s="9"/>
      <c r="I30" s="5" t="str">
        <f aca="false">CONCATENATE(SUM(D30,E30,F30,G30,H30)*100,"%")</f>
        <v>100%</v>
      </c>
    </row>
    <row r="31" customFormat="false" ht="13.8" hidden="false" customHeight="false" outlineLevel="0" collapsed="false">
      <c r="A31" s="1" t="s">
        <v>61</v>
      </c>
      <c r="B31" s="1" t="s">
        <v>62</v>
      </c>
      <c r="C31" s="10" t="n">
        <v>30</v>
      </c>
      <c r="D31" s="9"/>
      <c r="E31" s="9"/>
      <c r="F31" s="9"/>
      <c r="G31" s="11" t="n">
        <v>1</v>
      </c>
      <c r="H31" s="9"/>
      <c r="I31" s="5" t="str">
        <f aca="false">CONCATENATE(SUM(D31,E31,F31,G31,H31)*100,"%")</f>
        <v>100%</v>
      </c>
    </row>
    <row r="32" customFormat="false" ht="13.8" hidden="false" customHeight="false" outlineLevel="0" collapsed="false">
      <c r="A32" s="1" t="s">
        <v>63</v>
      </c>
      <c r="B32" s="1" t="s">
        <v>64</v>
      </c>
      <c r="C32" s="10" t="n">
        <v>5</v>
      </c>
      <c r="D32" s="9"/>
      <c r="E32" s="9"/>
      <c r="F32" s="11" t="n">
        <v>1</v>
      </c>
      <c r="G32" s="9"/>
      <c r="H32" s="9"/>
      <c r="I32" s="5" t="str">
        <f aca="false">CONCATENATE(SUM(D32,E32,F32,G32,H32)*100,"%")</f>
        <v>100%</v>
      </c>
    </row>
    <row r="33" customFormat="false" ht="13.8" hidden="false" customHeight="false" outlineLevel="0" collapsed="false">
      <c r="A33" s="1" t="s">
        <v>65</v>
      </c>
      <c r="B33" s="1" t="s">
        <v>66</v>
      </c>
      <c r="C33" s="10" t="n">
        <v>10</v>
      </c>
      <c r="D33" s="9"/>
      <c r="E33" s="9"/>
      <c r="F33" s="11" t="n">
        <v>1</v>
      </c>
      <c r="G33" s="9"/>
      <c r="H33" s="9"/>
      <c r="I33" s="5" t="str">
        <f aca="false">CONCATENATE(SUM(D33,E33,F33,G33,H33)*100,"%")</f>
        <v>100%</v>
      </c>
    </row>
    <row r="34" customFormat="false" ht="13.8" hidden="false" customHeight="false" outlineLevel="0" collapsed="false">
      <c r="A34" s="1" t="s">
        <v>67</v>
      </c>
      <c r="B34" s="1" t="s">
        <v>68</v>
      </c>
      <c r="C34" s="10" t="n">
        <v>30</v>
      </c>
      <c r="D34" s="9"/>
      <c r="E34" s="11" t="n">
        <v>1</v>
      </c>
      <c r="F34" s="9"/>
      <c r="G34" s="9"/>
      <c r="H34" s="9"/>
      <c r="I34" s="5" t="str">
        <f aca="false">CONCATENATE(SUM(D34,E34,F34,G34,H34)*100,"%")</f>
        <v>100%</v>
      </c>
    </row>
    <row r="35" customFormat="false" ht="13.8" hidden="false" customHeight="false" outlineLevel="0" collapsed="false">
      <c r="A35" s="12" t="s">
        <v>42</v>
      </c>
      <c r="B35" s="12"/>
      <c r="C35" s="13" t="n">
        <f aca="false">SUM(C22:C34)</f>
        <v>175</v>
      </c>
      <c r="D35" s="0" t="n">
        <f aca="false">SUMPRODUCT(D23:D34,$C23:$C34)</f>
        <v>45</v>
      </c>
      <c r="E35" s="0" t="n">
        <f aca="false">SUMPRODUCT(E23:E34,$C23:$C34)</f>
        <v>45</v>
      </c>
      <c r="F35" s="0" t="n">
        <f aca="false">SUMPRODUCT(F23:F34,$C23:$C34)</f>
        <v>40</v>
      </c>
      <c r="G35" s="0" t="n">
        <f aca="false">SUMPRODUCT(G23:G34,$C23:$C34)</f>
        <v>45</v>
      </c>
      <c r="H35" s="0" t="n">
        <f aca="false">SUMPRODUCT(H23:H34,$C23:$C34)</f>
        <v>0</v>
      </c>
      <c r="I35" s="5"/>
      <c r="K35" s="0" t="n">
        <f aca="false">SUM(D35:H35)</f>
        <v>175</v>
      </c>
    </row>
    <row r="36" customFormat="false" ht="13.8" hidden="false" customHeight="false" outlineLevel="0" collapsed="false">
      <c r="A36" s="1" t="s">
        <v>69</v>
      </c>
      <c r="B36" s="1" t="s">
        <v>70</v>
      </c>
      <c r="D36" s="9"/>
      <c r="E36" s="14" t="n">
        <v>0.5</v>
      </c>
      <c r="F36" s="14" t="n">
        <v>0.5</v>
      </c>
      <c r="G36" s="9"/>
      <c r="H36" s="9"/>
      <c r="I36" s="5" t="str">
        <f aca="false">CONCATENATE(SUM(D36,E36,F36,G36,H36)*100,"%")</f>
        <v>100%</v>
      </c>
    </row>
    <row r="37" customFormat="false" ht="13.8" hidden="false" customHeight="false" outlineLevel="0" collapsed="false">
      <c r="A37" s="1" t="s">
        <v>71</v>
      </c>
      <c r="B37" s="1" t="s">
        <v>72</v>
      </c>
      <c r="D37" s="9"/>
      <c r="E37" s="9"/>
      <c r="F37" s="14" t="n">
        <v>1</v>
      </c>
      <c r="G37" s="9"/>
      <c r="H37" s="9"/>
      <c r="I37" s="5" t="str">
        <f aca="false">CONCATENATE(SUM(D37,E37,F37,G37,H37)*100,"%")</f>
        <v>100%</v>
      </c>
    </row>
    <row r="38" customFormat="false" ht="13.8" hidden="false" customHeight="false" outlineLevel="0" collapsed="false">
      <c r="A38" s="1" t="s">
        <v>73</v>
      </c>
      <c r="B38" s="1" t="s">
        <v>74</v>
      </c>
      <c r="D38" s="9"/>
      <c r="E38" s="14" t="n">
        <v>0.5</v>
      </c>
      <c r="F38" s="14" t="n">
        <v>0.5</v>
      </c>
      <c r="G38" s="9"/>
      <c r="H38" s="9"/>
      <c r="I38" s="5" t="str">
        <f aca="false">CONCATENATE(SUM(D38,E38,F38,G38,H38)*100,"%")</f>
        <v>100%</v>
      </c>
    </row>
    <row r="39" customFormat="false" ht="13.8" hidden="false" customHeight="false" outlineLevel="0" collapsed="false">
      <c r="A39" s="1" t="s">
        <v>75</v>
      </c>
      <c r="B39" s="1" t="s">
        <v>76</v>
      </c>
      <c r="D39" s="9"/>
      <c r="E39" s="14" t="n">
        <v>0</v>
      </c>
      <c r="F39" s="14" t="n">
        <v>0</v>
      </c>
      <c r="G39" s="9"/>
      <c r="H39" s="9"/>
      <c r="I39" s="5" t="str">
        <f aca="false">CONCATENATE(SUM(D39,E39,F39,G39,H39)*100,"%")</f>
        <v>0%</v>
      </c>
    </row>
    <row r="40" customFormat="false" ht="13.8" hidden="false" customHeight="false" outlineLevel="0" collapsed="false">
      <c r="A40" s="1" t="s">
        <v>77</v>
      </c>
      <c r="B40" s="1" t="s">
        <v>78</v>
      </c>
      <c r="D40" s="9"/>
      <c r="E40" s="14" t="n">
        <v>1</v>
      </c>
      <c r="F40" s="9"/>
      <c r="G40" s="9"/>
      <c r="H40" s="9"/>
      <c r="I40" s="5" t="str">
        <f aca="false">CONCATENATE(SUM(D40,E40,F40,G40,H40)*100,"%")</f>
        <v>100%</v>
      </c>
    </row>
    <row r="41" customFormat="false" ht="13.8" hidden="false" customHeight="false" outlineLevel="0" collapsed="false">
      <c r="A41" s="1" t="s">
        <v>79</v>
      </c>
      <c r="B41" s="1" t="s">
        <v>80</v>
      </c>
      <c r="D41" s="9"/>
      <c r="E41" s="9"/>
      <c r="F41" s="14" t="n">
        <v>1</v>
      </c>
      <c r="G41" s="9"/>
      <c r="H41" s="9"/>
      <c r="I41" s="5" t="str">
        <f aca="false">CONCATENATE(SUM(D41,E41,F41,G41,H41)*100,"%")</f>
        <v>100%</v>
      </c>
    </row>
    <row r="42" customFormat="false" ht="13.8" hidden="false" customHeight="false" outlineLevel="0" collapsed="false">
      <c r="A42" s="1" t="s">
        <v>81</v>
      </c>
      <c r="B42" s="1" t="s">
        <v>82</v>
      </c>
      <c r="D42" s="9"/>
      <c r="E42" s="14" t="n">
        <v>0.5</v>
      </c>
      <c r="F42" s="14" t="n">
        <v>0.5</v>
      </c>
      <c r="G42" s="9"/>
      <c r="H42" s="9"/>
      <c r="I42" s="5" t="str">
        <f aca="false">CONCATENATE(SUM(D42,E42,F42,G42,H42)*100,"%")</f>
        <v>100%</v>
      </c>
    </row>
    <row r="43" customFormat="false" ht="13.8" hidden="false" customHeight="false" outlineLevel="0" collapsed="false">
      <c r="A43" s="1" t="s">
        <v>83</v>
      </c>
      <c r="B43" s="1" t="s">
        <v>84</v>
      </c>
      <c r="D43" s="9"/>
      <c r="E43" s="14" t="n">
        <v>1</v>
      </c>
      <c r="F43" s="9"/>
      <c r="G43" s="9"/>
      <c r="H43" s="9"/>
      <c r="I43" s="5" t="str">
        <f aca="false">CONCATENATE(SUM(D43,E43,F43,G43,H43)*100,"%")</f>
        <v>100%</v>
      </c>
    </row>
    <row r="44" customFormat="false" ht="13.8" hidden="false" customHeight="false" outlineLevel="0" collapsed="false">
      <c r="A44" s="1" t="s">
        <v>85</v>
      </c>
      <c r="B44" s="1" t="s">
        <v>86</v>
      </c>
      <c r="D44" s="9"/>
      <c r="E44" s="14" t="n">
        <v>1</v>
      </c>
      <c r="F44" s="9"/>
      <c r="G44" s="9"/>
      <c r="H44" s="9"/>
      <c r="I44" s="5" t="str">
        <f aca="false">CONCATENATE(SUM(D44,E44,F44,G44,H44)*100,"%")</f>
        <v>100%</v>
      </c>
    </row>
    <row r="45" customFormat="false" ht="13.8" hidden="false" customHeight="false" outlineLevel="0" collapsed="false">
      <c r="A45" s="1" t="s">
        <v>87</v>
      </c>
      <c r="B45" s="1" t="s">
        <v>88</v>
      </c>
      <c r="D45" s="9"/>
      <c r="E45" s="9"/>
      <c r="F45" s="14" t="n">
        <v>1</v>
      </c>
      <c r="G45" s="9"/>
      <c r="H45" s="9"/>
      <c r="I45" s="5" t="str">
        <f aca="false">CONCATENATE(SUM(D45,E45,F45,G45,H45)*100,"%")</f>
        <v>100%</v>
      </c>
    </row>
    <row r="46" customFormat="false" ht="13.8" hidden="false" customHeight="false" outlineLevel="0" collapsed="false">
      <c r="A46" s="15" t="s">
        <v>89</v>
      </c>
      <c r="B46" s="15" t="s">
        <v>90</v>
      </c>
      <c r="D46" s="11"/>
      <c r="E46" s="9"/>
      <c r="F46" s="9"/>
      <c r="G46" s="11" t="n">
        <v>1</v>
      </c>
      <c r="H46" s="9"/>
      <c r="I46" s="5" t="str">
        <f aca="false">CONCATENATE(SUM(D46,E46,F46,G46,H46)*100,"%")</f>
        <v>100%</v>
      </c>
    </row>
    <row r="47" customFormat="false" ht="13.8" hidden="false" customHeight="false" outlineLevel="0" collapsed="false">
      <c r="A47" s="15" t="s">
        <v>91</v>
      </c>
      <c r="B47" s="15" t="s">
        <v>92</v>
      </c>
      <c r="D47" s="11" t="n">
        <v>1</v>
      </c>
      <c r="E47" s="9"/>
      <c r="F47" s="9"/>
      <c r="G47" s="9"/>
      <c r="H47" s="9"/>
      <c r="I47" s="5" t="str">
        <f aca="false">CONCATENATE(SUM(D47,E47,F47,G47,H47)*100,"%")</f>
        <v>100%</v>
      </c>
    </row>
    <row r="48" customFormat="false" ht="13.8" hidden="false" customHeight="false" outlineLevel="0" collapsed="false">
      <c r="A48" s="15" t="s">
        <v>93</v>
      </c>
      <c r="B48" s="15" t="s">
        <v>94</v>
      </c>
      <c r="D48" s="11" t="n">
        <v>1</v>
      </c>
      <c r="E48" s="9"/>
      <c r="F48" s="9"/>
      <c r="G48" s="9"/>
      <c r="H48" s="9"/>
      <c r="I48" s="5" t="str">
        <f aca="false">CONCATENATE(SUM(D48,E48,F48,G48,H48)*100,"%")</f>
        <v>100%</v>
      </c>
    </row>
    <row r="49" customFormat="false" ht="13.8" hidden="false" customHeight="false" outlineLevel="0" collapsed="false">
      <c r="A49" s="15" t="s">
        <v>95</v>
      </c>
      <c r="B49" s="15" t="s">
        <v>96</v>
      </c>
      <c r="D49" s="11" t="n">
        <v>1</v>
      </c>
      <c r="E49" s="9"/>
      <c r="F49" s="9"/>
      <c r="G49" s="9"/>
      <c r="H49" s="9"/>
      <c r="I49" s="5" t="str">
        <f aca="false">CONCATENATE(SUM(D49,E49,F49,G49,H49)*100,"%")</f>
        <v>100%</v>
      </c>
    </row>
    <row r="50" customFormat="false" ht="13.8" hidden="false" customHeight="false" outlineLevel="0" collapsed="false">
      <c r="A50" s="15" t="s">
        <v>97</v>
      </c>
      <c r="B50" s="15" t="s">
        <v>98</v>
      </c>
      <c r="D50" s="9"/>
      <c r="E50" s="9"/>
      <c r="F50" s="9"/>
      <c r="G50" s="11" t="n">
        <v>1</v>
      </c>
      <c r="H50" s="9"/>
      <c r="I50" s="5" t="str">
        <f aca="false">CONCATENATE(SUM(D50,E50,F50,G50,H50)*100,"%")</f>
        <v>100%</v>
      </c>
    </row>
    <row r="51" customFormat="false" ht="13.8" hidden="false" customHeight="false" outlineLevel="0" collapsed="false">
      <c r="A51" s="1" t="s">
        <v>99</v>
      </c>
      <c r="B51" s="1" t="s">
        <v>100</v>
      </c>
      <c r="D51" s="9"/>
      <c r="E51" s="9"/>
      <c r="F51" s="14" t="n">
        <v>1</v>
      </c>
      <c r="G51" s="9"/>
      <c r="H51" s="9"/>
      <c r="I51" s="5" t="str">
        <f aca="false">CONCATENATE(SUM(D51,E51,F51,G51,H51)*100,"%")</f>
        <v>100%</v>
      </c>
    </row>
    <row r="52" customFormat="false" ht="13.8" hidden="false" customHeight="false" outlineLevel="0" collapsed="false">
      <c r="A52" s="1" t="s">
        <v>101</v>
      </c>
      <c r="B52" s="1" t="s">
        <v>102</v>
      </c>
      <c r="D52" s="9"/>
      <c r="E52" s="9"/>
      <c r="F52" s="14" t="n">
        <v>1</v>
      </c>
      <c r="G52" s="9"/>
      <c r="H52" s="9"/>
      <c r="I52" s="5" t="str">
        <f aca="false">CONCATENATE(SUM(D52,E52,F52,G52,H52)*100,"%")</f>
        <v>100%</v>
      </c>
    </row>
    <row r="53" customFormat="false" ht="13.8" hidden="false" customHeight="false" outlineLevel="0" collapsed="false">
      <c r="A53" s="1" t="s">
        <v>103</v>
      </c>
      <c r="B53" s="1" t="s">
        <v>104</v>
      </c>
      <c r="D53" s="9"/>
      <c r="E53" s="9"/>
      <c r="F53" s="14" t="n">
        <v>1</v>
      </c>
      <c r="G53" s="9"/>
      <c r="H53" s="9"/>
      <c r="I53" s="5" t="str">
        <f aca="false">CONCATENATE(SUM(D53,E53,F53,G53,H53)*100,"%")</f>
        <v>100%</v>
      </c>
    </row>
    <row r="54" customFormat="false" ht="13.8" hidden="false" customHeight="false" outlineLevel="0" collapsed="false">
      <c r="A54" s="1" t="s">
        <v>105</v>
      </c>
      <c r="B54" s="1" t="s">
        <v>106</v>
      </c>
      <c r="D54" s="9"/>
      <c r="E54" s="9"/>
      <c r="F54" s="14" t="n">
        <v>1</v>
      </c>
      <c r="G54" s="9"/>
      <c r="H54" s="9"/>
      <c r="I54" s="5" t="str">
        <f aca="false">CONCATENATE(SUM(D54,E54,F54,G54,H54)*100,"%")</f>
        <v>100%</v>
      </c>
    </row>
    <row r="55" customFormat="false" ht="13.8" hidden="false" customHeight="false" outlineLevel="0" collapsed="false">
      <c r="A55" s="15" t="s">
        <v>107</v>
      </c>
      <c r="B55" s="15" t="s">
        <v>108</v>
      </c>
      <c r="D55" s="11" t="n">
        <v>1</v>
      </c>
      <c r="E55" s="9"/>
      <c r="F55" s="9"/>
      <c r="G55" s="9"/>
      <c r="H55" s="9"/>
      <c r="I55" s="5" t="str">
        <f aca="false">CONCATENATE(SUM(D55,E55,F55,G55,H55)*100,"%")</f>
        <v>100%</v>
      </c>
    </row>
    <row r="56" customFormat="false" ht="13.8" hidden="false" customHeight="false" outlineLevel="0" collapsed="false">
      <c r="A56" s="15" t="s">
        <v>109</v>
      </c>
      <c r="B56" s="15" t="s">
        <v>110</v>
      </c>
      <c r="D56" s="11"/>
      <c r="E56" s="9"/>
      <c r="F56" s="9"/>
      <c r="G56" s="11" t="n">
        <v>1</v>
      </c>
      <c r="H56" s="9"/>
      <c r="I56" s="5" t="str">
        <f aca="false">CONCATENATE(SUM(D56,E56,F56,G56,H56)*100,"%")</f>
        <v>100%</v>
      </c>
    </row>
    <row r="57" customFormat="false" ht="13.8" hidden="false" customHeight="false" outlineLevel="0" collapsed="false">
      <c r="A57" s="15" t="s">
        <v>111</v>
      </c>
      <c r="B57" s="15" t="s">
        <v>112</v>
      </c>
      <c r="D57" s="11" t="n">
        <v>0.3</v>
      </c>
      <c r="E57" s="9"/>
      <c r="F57" s="9"/>
      <c r="G57" s="11" t="n">
        <v>0.7</v>
      </c>
      <c r="H57" s="9"/>
      <c r="I57" s="5" t="str">
        <f aca="false">CONCATENATE(SUM(D57,E57,F57,G57,H57)*100,"%")</f>
        <v>100%</v>
      </c>
    </row>
    <row r="58" customFormat="false" ht="13.8" hidden="false" customHeight="false" outlineLevel="0" collapsed="false">
      <c r="A58" s="15" t="s">
        <v>113</v>
      </c>
      <c r="B58" s="15" t="s">
        <v>114</v>
      </c>
      <c r="D58" s="11" t="n">
        <v>1</v>
      </c>
      <c r="E58" s="9"/>
      <c r="F58" s="9"/>
      <c r="G58" s="9"/>
      <c r="H58" s="9"/>
      <c r="I58" s="5" t="str">
        <f aca="false">CONCATENATE(SUM(D58,E58,F58,G58,H58)*100,"%")</f>
        <v>100%</v>
      </c>
    </row>
    <row r="59" customFormat="false" ht="13.8" hidden="false" customHeight="false" outlineLevel="0" collapsed="false">
      <c r="A59" s="15" t="s">
        <v>115</v>
      </c>
      <c r="B59" s="15" t="s">
        <v>116</v>
      </c>
      <c r="D59" s="11" t="n">
        <v>1</v>
      </c>
      <c r="E59" s="9"/>
      <c r="F59" s="9"/>
      <c r="G59" s="9"/>
      <c r="H59" s="9"/>
      <c r="I59" s="5" t="str">
        <f aca="false">CONCATENATE(SUM(D59,E59,F59,G59,H59)*100,"%")</f>
        <v>100%</v>
      </c>
    </row>
    <row r="60" customFormat="false" ht="13.8" hidden="false" customHeight="false" outlineLevel="0" collapsed="false">
      <c r="A60" s="1" t="s">
        <v>117</v>
      </c>
      <c r="B60" s="1" t="s">
        <v>17</v>
      </c>
      <c r="D60" s="11" t="n">
        <v>0.7</v>
      </c>
      <c r="E60" s="14" t="n">
        <v>0.3</v>
      </c>
      <c r="F60" s="9"/>
      <c r="G60" s="9"/>
      <c r="H60" s="9"/>
      <c r="I60" s="5" t="str">
        <f aca="false">CONCATENATE(SUM(D60,E60,F60,G60,H60)*100,"%")</f>
        <v>100%</v>
      </c>
    </row>
    <row r="61" customFormat="false" ht="13.8" hidden="false" customHeight="false" outlineLevel="0" collapsed="false">
      <c r="A61" s="1" t="s">
        <v>118</v>
      </c>
      <c r="B61" s="1" t="s">
        <v>119</v>
      </c>
      <c r="D61" s="9"/>
      <c r="E61" s="9"/>
      <c r="F61" s="9"/>
      <c r="G61" s="9"/>
      <c r="H61" s="9"/>
      <c r="I61" s="5" t="str">
        <f aca="false">CONCATENATE(SUM(D61,E61,F61,G61,H61)*100,"%")</f>
        <v>0%</v>
      </c>
    </row>
    <row r="62" customFormat="false" ht="13.8" hidden="false" customHeight="false" outlineLevel="0" collapsed="false">
      <c r="A62" s="1" t="s">
        <v>118</v>
      </c>
      <c r="B62" s="1" t="s">
        <v>120</v>
      </c>
      <c r="D62" s="11" t="n">
        <v>0.2</v>
      </c>
      <c r="E62" s="9"/>
      <c r="F62" s="9"/>
      <c r="G62" s="11" t="n">
        <v>0.8</v>
      </c>
      <c r="H62" s="9"/>
      <c r="I62" s="5" t="str">
        <f aca="false">CONCATENATE(SUM(D62,E62,F62,G62,H62)*100,"%")</f>
        <v>100%</v>
      </c>
    </row>
    <row r="63" customFormat="false" ht="13.8" hidden="false" customHeight="false" outlineLevel="0" collapsed="false">
      <c r="A63" s="1" t="s">
        <v>118</v>
      </c>
      <c r="B63" s="1" t="s">
        <v>121</v>
      </c>
      <c r="D63" s="9"/>
      <c r="E63" s="9"/>
      <c r="F63" s="9"/>
      <c r="G63" s="11" t="n">
        <v>1</v>
      </c>
      <c r="H63" s="9"/>
      <c r="I63" s="5" t="str">
        <f aca="false">CONCATENATE(SUM(D63,E63,F63,G63,H63)*100,"%")</f>
        <v>100%</v>
      </c>
    </row>
    <row r="64" customFormat="false" ht="13.8" hidden="false" customHeight="false" outlineLevel="0" collapsed="false">
      <c r="A64" s="1" t="s">
        <v>118</v>
      </c>
      <c r="B64" s="1" t="s">
        <v>122</v>
      </c>
      <c r="D64" s="11" t="n">
        <v>1</v>
      </c>
      <c r="E64" s="9"/>
      <c r="F64" s="9"/>
      <c r="G64" s="9"/>
      <c r="H64" s="9"/>
      <c r="I64" s="5" t="str">
        <f aca="false">CONCATENATE(SUM(D64,E64,F64,G64,H64)*100,"%")</f>
        <v>100%</v>
      </c>
    </row>
    <row r="65" customFormat="false" ht="13.8" hidden="false" customHeight="false" outlineLevel="0" collapsed="false">
      <c r="C65" s="10"/>
      <c r="D65" s="0" t="n">
        <f aca="false">SUM(D36:D64)</f>
        <v>8.2</v>
      </c>
      <c r="E65" s="0" t="n">
        <f aca="false">SUM(E36:E64)</f>
        <v>4.8</v>
      </c>
      <c r="F65" s="0" t="n">
        <f aca="false">SUM(F36:F64)</f>
        <v>8.5</v>
      </c>
      <c r="G65" s="0" t="n">
        <f aca="false">SUM(G36:G64)</f>
        <v>5.5</v>
      </c>
      <c r="H65" s="0" t="n">
        <f aca="false">SUM(H36:H64)</f>
        <v>0</v>
      </c>
      <c r="K65" s="0" t="n">
        <f aca="false">SUM(D65:H65)</f>
        <v>27</v>
      </c>
    </row>
    <row r="67" customFormat="false" ht="13.8" hidden="false" customHeight="false" outlineLevel="0" collapsed="false">
      <c r="C67" s="10"/>
    </row>
  </sheetData>
  <mergeCells count="2">
    <mergeCell ref="A1:D1"/>
    <mergeCell ref="D2:G2"/>
  </mergeCells>
  <printOptions headings="false" gridLines="false" gridLinesSet="true" horizontalCentered="false" verticalCentered="false"/>
  <pageMargins left="0.747916666666667" right="0.747916666666667" top="1.27986111111111" bottom="1.27986111111111" header="0.511805555555555" footer="0.511805555555555"/>
  <pageSetup paperSize="1" scale="100" firstPageNumber="0" fitToWidth="1" fitToHeight="1" pageOrder="overThenDown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LibreOffice/6.3.5.2$Windows_X86_64 LibreOffice_project/dd0751754f11728f69b42ee2af66670068624673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2020-02-20T15:12:42Z</dcterms:created>
  <dc:creator>Markus Joppich</dc:creator>
  <dc:description/>
  <dc:language>en-US</dc:language>
  <cp:lastModifiedBy/>
  <dcterms:modified xsi:type="dcterms:W3CDTF">2026-03-09T19:41:41Z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